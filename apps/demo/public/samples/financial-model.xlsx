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'P&amp;L'!$B$2</f>
            </numRef>
          </val>
        </ser>
        <ser>
          <idx val="1"/>
          <order val="1"/>
          <tx>
            <strRef>
              <f>'P&amp;L'!C1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'P&amp;L'!$C$2</f>
            </numRef>
          </val>
        </ser>
        <ser>
          <idx val="2"/>
          <order val="2"/>
          <tx>
            <strRef>
              <f>'P&amp;L'!D1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'P&amp;L'!$D$2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Driver</t>
        </is>
      </c>
      <c r="B1" s="1" t="inlineStr">
        <is>
          <t>FY2026</t>
        </is>
      </c>
      <c r="C1" s="1" t="inlineStr">
        <is>
          <t>FY2027</t>
        </is>
      </c>
      <c r="D1" s="1" t="inlineStr">
        <is>
          <t>FY2028</t>
        </is>
      </c>
    </row>
    <row r="2">
      <c r="A2" t="inlineStr">
        <is>
          <t>Starting Customers</t>
        </is>
      </c>
      <c r="B2" t="n">
        <v>120</v>
      </c>
      <c r="C2" t="n">
        <v>180</v>
      </c>
      <c r="D2" t="n">
        <v>255</v>
      </c>
    </row>
    <row r="3">
      <c r="A3" t="inlineStr">
        <is>
          <t>ARPU</t>
        </is>
      </c>
      <c r="B3" t="n">
        <v>420</v>
      </c>
      <c r="C3" t="n">
        <v>456</v>
      </c>
      <c r="D3" t="n">
        <v>492</v>
      </c>
    </row>
    <row r="4">
      <c r="A4" t="inlineStr">
        <is>
          <t>Gross Margin</t>
        </is>
      </c>
      <c r="B4" t="n">
        <v>0.72</v>
      </c>
      <c r="C4" t="n">
        <v>0.74</v>
      </c>
      <c r="D4" t="n">
        <v>0.76</v>
      </c>
    </row>
    <row r="5">
      <c r="A5" t="inlineStr">
        <is>
          <t>Churn</t>
        </is>
      </c>
      <c r="B5" t="n">
        <v>0.08</v>
      </c>
      <c r="C5" t="n">
        <v>0.07000000000000001</v>
      </c>
      <c r="D5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FY2026</t>
        </is>
      </c>
      <c r="C1" s="1" t="inlineStr">
        <is>
          <t>FY2027</t>
        </is>
      </c>
      <c r="D1" s="1" t="inlineStr">
        <is>
          <t>FY2028</t>
        </is>
      </c>
    </row>
    <row r="2">
      <c r="A2" t="inlineStr">
        <is>
          <t>Revenue</t>
        </is>
      </c>
      <c r="B2" s="2">
        <f>Assumptions!B2*Assumptions!B3</f>
        <v/>
      </c>
      <c r="C2" s="2">
        <f>Assumptions!C2*Assumptions!C3</f>
        <v/>
      </c>
      <c r="D2" s="2">
        <f>Assumptions!D2*Assumptions!D3</f>
        <v/>
      </c>
    </row>
    <row r="3">
      <c r="A3" t="inlineStr">
        <is>
          <t>COGS</t>
        </is>
      </c>
      <c r="B3" s="2">
        <f>B2*(1-Assumptions!B4)</f>
        <v/>
      </c>
      <c r="C3" s="2">
        <f>C2*(1-Assumptions!C4)</f>
        <v/>
      </c>
      <c r="D3" s="2">
        <f>D2*(1-Assumptions!D4)</f>
        <v/>
      </c>
    </row>
    <row r="4">
      <c r="A4" t="inlineStr">
        <is>
          <t>Gross Profit</t>
        </is>
      </c>
      <c r="B4" s="2">
        <f>B2-B3</f>
        <v/>
      </c>
      <c r="C4" s="2">
        <f>C2-C3</f>
        <v/>
      </c>
      <c r="D4" s="2">
        <f>D2-D3</f>
        <v/>
      </c>
    </row>
    <row r="5">
      <c r="A5" t="inlineStr">
        <is>
          <t>Sales &amp; Marketing</t>
        </is>
      </c>
      <c r="B5" s="2">
        <f>B2*22%</f>
        <v/>
      </c>
      <c r="C5" s="2">
        <f>C2*22%</f>
        <v/>
      </c>
      <c r="D5" s="2">
        <f>D2*22%</f>
        <v/>
      </c>
    </row>
    <row r="6">
      <c r="A6" t="inlineStr">
        <is>
          <t>R&amp;D</t>
        </is>
      </c>
      <c r="B6" s="2">
        <f>B2*18%</f>
        <v/>
      </c>
      <c r="C6" s="2">
        <f>C2*18%</f>
        <v/>
      </c>
      <c r="D6" s="2">
        <f>D2*18%</f>
        <v/>
      </c>
    </row>
    <row r="7">
      <c r="A7" t="inlineStr">
        <is>
          <t>G&amp;A</t>
        </is>
      </c>
      <c r="B7" s="2">
        <f>B2*11%</f>
        <v/>
      </c>
      <c r="C7" s="2">
        <f>C2*11%</f>
        <v/>
      </c>
      <c r="D7" s="2">
        <f>D2*11%</f>
        <v/>
      </c>
    </row>
    <row r="8">
      <c r="A8" t="inlineStr">
        <is>
          <t>Operating Income</t>
        </is>
      </c>
      <c r="B8" s="2">
        <f>B4-SUM(B5:B7)</f>
        <v/>
      </c>
      <c r="C8" s="2">
        <f>C4-SUM(C5:C7)</f>
        <v/>
      </c>
      <c r="D8" s="2">
        <f>D4-SUM(D5:D7)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model fixture with formulas and multiple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2026-07-05T02:18:24Z</dcterms:created>
  <dcterms:modified xmlns:dcterms="http://purl.org/dc/terms/" xmlns:xsi="http://www.w3.org/2001/XMLSchema-instance" xsi:type="dcterms:W3CDTF">2026-07-05T02:18:24Z</dcterms:modified>
</cp:coreProperties>
</file>